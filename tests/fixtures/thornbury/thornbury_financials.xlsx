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4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Company</t>
        </is>
      </c>
      <c r="C2" t="inlineStr">
        <is>
          <t>Thornbury Analytics</t>
        </is>
      </c>
    </row>
    <row r="3">
      <c r="B3" s="1" t="inlineStr">
        <is>
          <t>Currency</t>
        </is>
      </c>
      <c r="C3" t="inlineStr">
        <is>
          <t>GBP</t>
        </is>
      </c>
    </row>
    <row r="4">
      <c r="B4" s="1" t="inlineStr">
        <is>
          <t>Units</t>
        </is>
      </c>
      <c r="C4" t="inlineStr">
        <is>
          <t>thousands</t>
        </is>
      </c>
    </row>
    <row r="5">
      <c r="B5" s="1" t="inlineStr">
        <is>
          <t>Year end (EoP)</t>
        </is>
      </c>
      <c r="C5" t="inlineStr">
        <is>
          <t>Dec</t>
        </is>
      </c>
    </row>
    <row r="7">
      <c r="D7" s="2" t="inlineStr">
        <is>
          <t>Historicals</t>
        </is>
      </c>
      <c r="G7" s="2" t="inlineStr">
        <is>
          <t>Management forecast</t>
        </is>
      </c>
    </row>
    <row r="8">
      <c r="D8" s="3" t="inlineStr">
        <is>
          <t>FY22A</t>
        </is>
      </c>
      <c r="E8" s="3" t="inlineStr">
        <is>
          <t>FY23A</t>
        </is>
      </c>
      <c r="F8" s="3" t="inlineStr">
        <is>
          <t>FY24A</t>
        </is>
      </c>
      <c r="G8" s="3" t="inlineStr">
        <is>
          <t>FY25E</t>
        </is>
      </c>
      <c r="H8" s="3" t="inlineStr">
        <is>
          <t>FY26E</t>
        </is>
      </c>
      <c r="I8" s="3" t="inlineStr">
        <is>
          <t>FY27E</t>
        </is>
      </c>
    </row>
    <row r="10">
      <c r="B10" t="inlineStr">
        <is>
          <t>ARR</t>
        </is>
      </c>
      <c r="D10" t="n">
        <v>7000</v>
      </c>
      <c r="E10" t="n">
        <v>10200</v>
      </c>
      <c r="F10" t="n">
        <v>14100</v>
      </c>
      <c r="G10" t="n">
        <v>18700</v>
      </c>
      <c r="H10" t="n">
        <v>24300</v>
      </c>
      <c r="I10" t="n">
        <v>30200</v>
      </c>
    </row>
    <row r="11">
      <c r="B11" t="inlineStr">
        <is>
          <t>Recurring Revenue</t>
        </is>
      </c>
      <c r="D11" t="n">
        <v>6100</v>
      </c>
      <c r="E11" t="n">
        <v>9000</v>
      </c>
      <c r="F11" t="n">
        <v>12300</v>
      </c>
      <c r="G11" t="n">
        <v>16500</v>
      </c>
      <c r="H11" t="n">
        <v>21800</v>
      </c>
      <c r="I11" t="n">
        <v>27900</v>
      </c>
    </row>
    <row r="12">
      <c r="B12" t="inlineStr">
        <is>
          <t>Non-Recurring Revenue</t>
        </is>
      </c>
      <c r="D12" t="n">
        <v>2100</v>
      </c>
      <c r="E12" t="n">
        <v>2600</v>
      </c>
      <c r="F12" t="n">
        <v>3100</v>
      </c>
      <c r="G12" t="n">
        <v>3600</v>
      </c>
      <c r="H12" t="n">
        <v>4200</v>
      </c>
      <c r="I12" t="n">
        <v>4600</v>
      </c>
    </row>
    <row r="13">
      <c r="B13" t="inlineStr">
        <is>
          <t>Revenue</t>
        </is>
      </c>
      <c r="D13" t="n">
        <v>8200</v>
      </c>
      <c r="E13" t="n">
        <v>11600</v>
      </c>
      <c r="F13" t="n">
        <v>15400</v>
      </c>
      <c r="G13" t="n">
        <v>20100</v>
      </c>
      <c r="H13" t="n">
        <v>26000</v>
      </c>
      <c r="I13" t="n">
        <v>32500</v>
      </c>
    </row>
    <row r="14">
      <c r="B14" t="inlineStr">
        <is>
          <t>COGS</t>
        </is>
      </c>
      <c r="D14" t="n">
        <v>-2600</v>
      </c>
      <c r="E14" t="n">
        <v>-3.5</v>
      </c>
      <c r="F14" t="n">
        <v>-4500</v>
      </c>
      <c r="G14" t="n">
        <v>-5700</v>
      </c>
      <c r="H14" t="n">
        <v>-7200</v>
      </c>
      <c r="I14" t="n">
        <v>-8800</v>
      </c>
    </row>
    <row r="15">
      <c r="B15" t="inlineStr">
        <is>
          <t>Gross profit</t>
        </is>
      </c>
      <c r="D15" t="n">
        <v>5600</v>
      </c>
      <c r="E15" t="n">
        <v>8100</v>
      </c>
      <c r="F15" t="n">
        <v>10900</v>
      </c>
      <c r="G15" t="n">
        <v>14400</v>
      </c>
      <c r="H15" t="n">
        <v>18800</v>
      </c>
      <c r="I15" t="n">
        <v>23700</v>
      </c>
    </row>
    <row r="16">
      <c r="B16" t="inlineStr">
        <is>
          <t>Personnel</t>
        </is>
      </c>
      <c r="D16" t="n">
        <v>-3400</v>
      </c>
      <c r="E16" t="n">
        <v>-4600</v>
      </c>
      <c r="F16" t="n">
        <v>-5800</v>
      </c>
      <c r="G16" t="n">
        <v>-7200</v>
      </c>
      <c r="H16" t="n">
        <v>-8900</v>
      </c>
      <c r="I16" t="n">
        <v>-10600</v>
      </c>
    </row>
    <row r="17">
      <c r="B17" t="inlineStr">
        <is>
          <t>S&amp;M</t>
        </is>
      </c>
      <c r="D17" t="n">
        <v>-1200</v>
      </c>
      <c r="E17" t="n">
        <v>-1900</v>
      </c>
      <c r="F17" t="n">
        <v>-2600</v>
      </c>
      <c r="G17" t="n">
        <v>-3300</v>
      </c>
      <c r="H17" t="n">
        <v>-4100</v>
      </c>
      <c r="I17" t="n">
        <v>-4900</v>
      </c>
    </row>
    <row r="18">
      <c r="B18" t="inlineStr">
        <is>
          <t>G&amp;A</t>
        </is>
      </c>
      <c r="D18" t="n">
        <v>-900</v>
      </c>
      <c r="E18" t="n">
        <v>-1200</v>
      </c>
      <c r="F18" t="n">
        <v>-1500</v>
      </c>
      <c r="G18" t="n">
        <v>-1800</v>
      </c>
      <c r="H18" t="n">
        <v>-2200</v>
      </c>
      <c r="I18" t="n">
        <v>-2500</v>
      </c>
    </row>
    <row r="19">
      <c r="B19" t="inlineStr">
        <is>
          <t>Total OPEX</t>
        </is>
      </c>
      <c r="D19" t="n">
        <v>-5500</v>
      </c>
      <c r="E19" t="n">
        <v>-7700</v>
      </c>
      <c r="F19" t="n">
        <v>-9900</v>
      </c>
      <c r="G19" t="n">
        <v>-12300</v>
      </c>
      <c r="H19" t="n">
        <v>-15200</v>
      </c>
      <c r="I19" t="n">
        <v>-18000</v>
      </c>
    </row>
    <row r="20">
      <c r="B20" t="inlineStr">
        <is>
          <t>Adjustments</t>
        </is>
      </c>
      <c r="D20" t="n">
        <v>300</v>
      </c>
      <c r="E20" t="n">
        <v>400</v>
      </c>
      <c r="F20" t="n">
        <v>500</v>
      </c>
      <c r="G20" t="n">
        <v>0</v>
      </c>
      <c r="H20" t="n">
        <v>0</v>
      </c>
      <c r="I20" t="n">
        <v>0</v>
      </c>
    </row>
    <row r="21">
      <c r="B21" t="inlineStr">
        <is>
          <t>Adj. EBITDA</t>
        </is>
      </c>
      <c r="D21" t="n">
        <v>400</v>
      </c>
      <c r="E21" t="n">
        <v>800</v>
      </c>
      <c r="F21" t="n">
        <v>1500</v>
      </c>
      <c r="G21" t="n">
        <v>2100</v>
      </c>
      <c r="H21" t="n">
        <v>3600</v>
      </c>
      <c r="I21" t="n">
        <v>5700</v>
      </c>
    </row>
    <row r="23">
      <c r="B23" s="1" t="inlineStr">
        <is>
          <t>Checks</t>
        </is>
      </c>
    </row>
    <row r="24">
      <c r="B24" t="inlineStr">
        <is>
          <t>Revenue less components (expect 0)</t>
        </is>
      </c>
      <c r="D24">
        <f>D13-(D11+D12)</f>
        <v/>
      </c>
      <c r="E24">
        <f>E13-(E11+E12)</f>
        <v/>
      </c>
      <c r="F24">
        <f>F13-(F11+F12)</f>
        <v/>
      </c>
      <c r="G24">
        <f>G13-(G11+G12)</f>
        <v/>
      </c>
      <c r="H24">
        <f>H13-(H11+H12)</f>
        <v/>
      </c>
      <c r="I24">
        <f>I13-(I11+I12)</f>
        <v/>
      </c>
    </row>
    <row r="25">
      <c r="B25" t="inlineStr">
        <is>
          <t>Gross profit less revenue and COGS (expect 0)</t>
        </is>
      </c>
      <c r="D25">
        <f>D15-(D13+D14)</f>
        <v/>
      </c>
      <c r="E25">
        <f>E15-(E13+E14)</f>
        <v/>
      </c>
      <c r="F25">
        <f>F15-(F13+F14)</f>
        <v/>
      </c>
      <c r="G25">
        <f>G15-(G13+G14)</f>
        <v/>
      </c>
      <c r="H25">
        <f>H15-(H13+H14)</f>
        <v/>
      </c>
      <c r="I25">
        <f>I15-(I13+I14)</f>
        <v/>
      </c>
    </row>
    <row r="26">
      <c r="B26" t="inlineStr">
        <is>
          <t>Total OPEX less components (expect 0)</t>
        </is>
      </c>
      <c r="D26">
        <f>D19-(D16+D17+D18)</f>
        <v/>
      </c>
      <c r="E26">
        <f>E19-(E16+E17+E18)</f>
        <v/>
      </c>
      <c r="F26">
        <f>F19-(F16+F17+F18)</f>
        <v/>
      </c>
      <c r="G26">
        <f>G19-(G16+G17+G18)</f>
        <v/>
      </c>
      <c r="H26">
        <f>H19-(H16+H17+H18)</f>
        <v/>
      </c>
      <c r="I26">
        <f>I19-(I16+I17+I18)</f>
        <v/>
      </c>
    </row>
  </sheetData>
  <mergeCells count="2">
    <mergeCell ref="D7:F7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2026-09-10T18:41:17Z</dcterms:created>
  <dcterms:modified xmlns:dcterms="http://purl.org/dc/terms/" xmlns:xsi="http://www.w3.org/2001/XMLSchema-instance" xsi:type="dcterms:W3CDTF">2026-09-10T18:41:17Z</dcterms:modified>
</cp:coreProperties>
</file>