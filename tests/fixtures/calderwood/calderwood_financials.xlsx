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9"/>
  <sheetViews>
    <sheetView workbookViewId="0">
      <selection activeCell="A1" sqref="A1"/>
    </sheetView>
  </sheetViews>
  <sheetFormatPr baseColWidth="8" defaultRowHeight="15"/>
  <cols>
    <col width="34" customWidth="1" min="2" max="2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1" t="inlineStr">
        <is>
          <t>Company</t>
        </is>
      </c>
      <c r="C2" t="inlineStr">
        <is>
          <t>Calderwood Health</t>
        </is>
      </c>
    </row>
    <row r="3">
      <c r="B3" s="1" t="inlineStr">
        <is>
          <t>Currency</t>
        </is>
      </c>
      <c r="C3" t="inlineStr">
        <is>
          <t>USD</t>
        </is>
      </c>
    </row>
    <row r="4">
      <c r="B4" s="1" t="inlineStr">
        <is>
          <t>Units</t>
        </is>
      </c>
      <c r="C4" t="inlineStr">
        <is>
          <t>thousands</t>
        </is>
      </c>
    </row>
    <row r="5">
      <c r="B5" s="1" t="inlineStr">
        <is>
          <t>Year end (EoP)</t>
        </is>
      </c>
      <c r="C5" t="inlineStr">
        <is>
          <t>Mar</t>
        </is>
      </c>
    </row>
    <row r="7">
      <c r="D7" s="2" t="inlineStr">
        <is>
          <t>Historicals</t>
        </is>
      </c>
      <c r="G7" s="2" t="inlineStr">
        <is>
          <t>Management forecast</t>
        </is>
      </c>
    </row>
    <row r="8">
      <c r="D8" s="3" t="inlineStr">
        <is>
          <t>FY22A</t>
        </is>
      </c>
      <c r="E8" s="3" t="inlineStr">
        <is>
          <t>FY23A</t>
        </is>
      </c>
      <c r="F8" s="3" t="inlineStr">
        <is>
          <t>FY24A</t>
        </is>
      </c>
      <c r="G8" s="3" t="inlineStr">
        <is>
          <t>FY25E</t>
        </is>
      </c>
      <c r="H8" s="3" t="inlineStr">
        <is>
          <t>FY26E</t>
        </is>
      </c>
      <c r="I8" s="3" t="inlineStr">
        <is>
          <t>FY27E</t>
        </is>
      </c>
    </row>
    <row r="10">
      <c r="B10" t="inlineStr">
        <is>
          <t>ARR</t>
        </is>
      </c>
      <c r="D10" t="n">
        <v>17000</v>
      </c>
      <c r="E10" t="n">
        <v>21000</v>
      </c>
      <c r="F10" t="n">
        <v>25400</v>
      </c>
      <c r="G10" t="n">
        <v>30500</v>
      </c>
      <c r="H10" t="n">
        <v>36200</v>
      </c>
      <c r="I10" t="n">
        <v>42500</v>
      </c>
    </row>
    <row r="11">
      <c r="B11" t="inlineStr">
        <is>
          <t>Recurring Revenue</t>
        </is>
      </c>
      <c r="D11" t="n">
        <v>15800</v>
      </c>
      <c r="E11" t="n">
        <v>19400</v>
      </c>
      <c r="F11" t="n">
        <v>23200</v>
      </c>
      <c r="G11" t="n">
        <v>28100</v>
      </c>
      <c r="H11" t="n">
        <v>33400</v>
      </c>
      <c r="I11" t="n">
        <v>39300</v>
      </c>
    </row>
    <row r="12">
      <c r="B12" t="inlineStr">
        <is>
          <t>Non-Recurring Revenue</t>
        </is>
      </c>
      <c r="D12" t="n">
        <v>6700</v>
      </c>
      <c r="E12" t="n">
        <v>7600</v>
      </c>
      <c r="F12" t="n">
        <v>8600</v>
      </c>
      <c r="G12" t="n">
        <v>9400</v>
      </c>
      <c r="H12" t="n">
        <v>10600</v>
      </c>
      <c r="I12" t="n">
        <v>11700</v>
      </c>
    </row>
    <row r="13">
      <c r="B13" t="inlineStr">
        <is>
          <t>Revenue</t>
        </is>
      </c>
      <c r="D13" t="n">
        <v>22500</v>
      </c>
      <c r="E13" t="n">
        <v>27000</v>
      </c>
      <c r="F13" t="n">
        <v>31800</v>
      </c>
      <c r="G13" t="n">
        <v>37500</v>
      </c>
      <c r="H13" t="n">
        <v>44000</v>
      </c>
      <c r="I13" t="n">
        <v>51000</v>
      </c>
    </row>
    <row r="14">
      <c r="B14" t="inlineStr">
        <is>
          <t>COGS</t>
        </is>
      </c>
      <c r="D14" t="n">
        <v>-7900</v>
      </c>
      <c r="E14" t="n">
        <v>-9200</v>
      </c>
      <c r="F14" t="n">
        <v>-10600</v>
      </c>
      <c r="G14" t="n">
        <v>-12300</v>
      </c>
      <c r="H14" t="n">
        <v>-14100</v>
      </c>
      <c r="I14" t="n">
        <v>-16000</v>
      </c>
    </row>
    <row r="15">
      <c r="B15" t="inlineStr">
        <is>
          <t>Gross profit</t>
        </is>
      </c>
      <c r="D15" t="n">
        <v>14600</v>
      </c>
      <c r="E15" t="n">
        <v>17800</v>
      </c>
      <c r="F15" t="n">
        <v>21200</v>
      </c>
      <c r="G15" t="n">
        <v>25200</v>
      </c>
      <c r="H15" t="n">
        <v>29900</v>
      </c>
      <c r="I15" t="n">
        <v>35000</v>
      </c>
    </row>
    <row r="16">
      <c r="B16" t="inlineStr">
        <is>
          <t>Personnel</t>
        </is>
      </c>
      <c r="D16" t="n">
        <v>-9000</v>
      </c>
      <c r="E16" t="n">
        <v>-10500</v>
      </c>
      <c r="F16" t="n">
        <v>-12000</v>
      </c>
      <c r="G16" t="n">
        <v>-13800</v>
      </c>
      <c r="H16" t="n">
        <v>-15600</v>
      </c>
      <c r="I16" t="n">
        <v>-17500</v>
      </c>
    </row>
    <row r="17">
      <c r="B17" t="inlineStr">
        <is>
          <t>Non-Personnel</t>
        </is>
      </c>
      <c r="D17" t="n">
        <v>-5400</v>
      </c>
      <c r="E17" t="n">
        <v>-6300</v>
      </c>
      <c r="F17" t="n">
        <v>-7100</v>
      </c>
      <c r="G17" t="n">
        <v>-8000</v>
      </c>
      <c r="H17" t="n">
        <v>-9000</v>
      </c>
      <c r="I17" t="n">
        <v>-10000</v>
      </c>
    </row>
    <row r="18">
      <c r="B18" t="inlineStr">
        <is>
          <t>Product</t>
        </is>
      </c>
      <c r="D18" t="n">
        <v>-5200</v>
      </c>
      <c r="E18" t="n">
        <v>-6100</v>
      </c>
      <c r="F18" t="n">
        <v>-6900</v>
      </c>
      <c r="G18" t="n">
        <v>-7900</v>
      </c>
      <c r="H18" t="n">
        <v>-8900</v>
      </c>
      <c r="I18" t="n">
        <v>-10000</v>
      </c>
    </row>
    <row r="19">
      <c r="B19" t="inlineStr">
        <is>
          <t>S&amp;M</t>
        </is>
      </c>
      <c r="D19" t="n">
        <v>-5600</v>
      </c>
      <c r="E19" t="n">
        <v>-6500</v>
      </c>
      <c r="F19" t="n">
        <v>-7400</v>
      </c>
      <c r="G19" t="n">
        <v>-8400</v>
      </c>
      <c r="H19" t="n">
        <v>-9500</v>
      </c>
      <c r="I19" t="n">
        <v>-10600</v>
      </c>
    </row>
    <row r="20">
      <c r="B20" t="inlineStr">
        <is>
          <t>G&amp;A</t>
        </is>
      </c>
      <c r="D20" t="n">
        <v>-3600</v>
      </c>
      <c r="E20" t="n">
        <v>-4200</v>
      </c>
      <c r="F20" t="n">
        <v>-4800</v>
      </c>
      <c r="G20" t="n">
        <v>-5500</v>
      </c>
      <c r="H20" t="n">
        <v>-6200</v>
      </c>
      <c r="I20" t="n">
        <v>-6900</v>
      </c>
    </row>
    <row r="21">
      <c r="B21" t="inlineStr">
        <is>
          <t>Total OPEX</t>
        </is>
      </c>
      <c r="D21" t="n">
        <v>-14400</v>
      </c>
      <c r="E21" t="n">
        <v>-16800</v>
      </c>
      <c r="F21" t="n">
        <v>-19100</v>
      </c>
      <c r="G21" t="n">
        <v>-21800</v>
      </c>
      <c r="H21" t="n">
        <v>-24600</v>
      </c>
      <c r="I21" t="n">
        <v>-27500</v>
      </c>
    </row>
    <row r="22">
      <c r="B22" t="inlineStr">
        <is>
          <t>Adjustments</t>
        </is>
      </c>
      <c r="D22" t="n">
        <v>500</v>
      </c>
      <c r="E22" t="n">
        <v>600</v>
      </c>
      <c r="F22" t="n">
        <v>700</v>
      </c>
      <c r="G22" t="n">
        <v>0</v>
      </c>
      <c r="H22" t="n">
        <v>0</v>
      </c>
      <c r="I22" t="n">
        <v>0</v>
      </c>
    </row>
    <row r="23">
      <c r="B23" t="inlineStr">
        <is>
          <t>Adj. EBITDA</t>
        </is>
      </c>
      <c r="D23" t="n">
        <v>700</v>
      </c>
      <c r="E23" t="n">
        <v>1600</v>
      </c>
      <c r="F23" t="n">
        <v>2800</v>
      </c>
      <c r="G23" t="n">
        <v>3400</v>
      </c>
      <c r="H23" t="n">
        <v>5300</v>
      </c>
      <c r="I23" t="n">
        <v>7500</v>
      </c>
    </row>
    <row r="25">
      <c r="B25" s="1" t="inlineStr">
        <is>
          <t>Checks</t>
        </is>
      </c>
    </row>
    <row r="26">
      <c r="B26" t="inlineStr">
        <is>
          <t>Revenue less components (expect 0)</t>
        </is>
      </c>
      <c r="D26">
        <f>D13-(D11+D12)</f>
        <v/>
      </c>
      <c r="E26">
        <f>E13-(E11+E12)</f>
        <v/>
      </c>
      <c r="F26">
        <f>F13-(F11+F12)</f>
        <v/>
      </c>
      <c r="G26">
        <f>G13-(G11+G12)</f>
        <v/>
      </c>
      <c r="H26">
        <f>H13-(H11+H12)</f>
        <v/>
      </c>
      <c r="I26">
        <f>I13-(I11+I12)</f>
        <v/>
      </c>
    </row>
    <row r="27">
      <c r="B27" t="inlineStr">
        <is>
          <t>Gross profit less revenue and COGS (expect 0)</t>
        </is>
      </c>
      <c r="D27">
        <f>D15-(D13+D14)</f>
        <v/>
      </c>
      <c r="E27">
        <f>E15-(E13+E14)</f>
        <v/>
      </c>
      <c r="F27">
        <f>F15-(F13+F14)</f>
        <v/>
      </c>
      <c r="G27">
        <f>G15-(G13+G14)</f>
        <v/>
      </c>
      <c r="H27">
        <f>H15-(H13+H14)</f>
        <v/>
      </c>
      <c r="I27">
        <f>I15-(I13+I14)</f>
        <v/>
      </c>
    </row>
    <row r="28">
      <c r="B28" t="inlineStr">
        <is>
          <t>Total OPEX less components (expect 0)</t>
        </is>
      </c>
      <c r="D28">
        <f>D21-(D16+D19+D20)</f>
        <v/>
      </c>
      <c r="E28">
        <f>E21-(E16+E19+E20)</f>
        <v/>
      </c>
      <c r="F28">
        <f>F21-(F16+F19+F20)</f>
        <v/>
      </c>
      <c r="G28">
        <f>G21-(G16+G19+G20)</f>
        <v/>
      </c>
      <c r="H28">
        <f>H21-(H16+H19+H20)</f>
        <v/>
      </c>
      <c r="I28">
        <f>I21-(I16+I19+I20)</f>
        <v/>
      </c>
    </row>
    <row r="29">
      <c r="B29" t="inlineStr">
        <is>
          <t>EBITDA less P&amp;L EBITDA (expect 0)</t>
        </is>
      </c>
      <c r="D29">
        <f>Adj_EBITDA_PL-D23</f>
        <v/>
      </c>
      <c r="E29">
        <f>Adj_EBITDA_PL-E23</f>
        <v/>
      </c>
      <c r="F29">
        <f>Adj_EBITDA_PL-F23</f>
        <v/>
      </c>
      <c r="G29">
        <f>Adj_EBITDA_PL-G23</f>
        <v/>
      </c>
      <c r="H29">
        <f>Adj_EBITDA_PL-H23</f>
        <v/>
      </c>
      <c r="I29">
        <f>Adj_EBITDA_PL-I23</f>
        <v/>
      </c>
    </row>
  </sheetData>
  <mergeCells count="2">
    <mergeCell ref="D7:F7"/>
    <mergeCell ref="G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2026-09-11T10:11:22Z</dcterms:created>
  <dcterms:modified xmlns:dcterms="http://purl.org/dc/terms/" xmlns:xsi="http://www.w3.org/2001/XMLSchema-instance" xsi:type="dcterms:W3CDTF">2026-09-11T10:11:22Z</dcterms:modified>
</cp:coreProperties>
</file>